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交大\2.组织\3.极客中心\1.human_skills\测评\"/>
    </mc:Choice>
  </mc:AlternateContent>
  <xr:revisionPtr revIDLastSave="0" documentId="13_ncr:1_{26AC16A0-8B05-4F20-BDF1-F7716365C2FF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H25" i="1"/>
  <c r="I25" i="1"/>
  <c r="C25" i="1"/>
  <c r="D24" i="1"/>
  <c r="E24" i="1"/>
  <c r="F24" i="1"/>
  <c r="G24" i="1"/>
  <c r="H24" i="1"/>
  <c r="I24" i="1"/>
  <c r="C24" i="1"/>
  <c r="D23" i="1"/>
  <c r="E23" i="1"/>
  <c r="F23" i="1"/>
  <c r="G23" i="1"/>
  <c r="H23" i="1"/>
  <c r="I23" i="1"/>
  <c r="C23" i="1"/>
  <c r="D21" i="1"/>
  <c r="E21" i="1"/>
  <c r="F21" i="1"/>
  <c r="G21" i="1"/>
  <c r="H21" i="1"/>
  <c r="I21" i="1"/>
  <c r="D14" i="1"/>
  <c r="E14" i="1"/>
  <c r="F14" i="1"/>
  <c r="G14" i="1"/>
  <c r="H14" i="1"/>
  <c r="I14" i="1"/>
  <c r="D10" i="1"/>
  <c r="E10" i="1"/>
  <c r="F10" i="1"/>
  <c r="G10" i="1"/>
  <c r="H10" i="1"/>
  <c r="I10" i="1"/>
  <c r="D6" i="1"/>
  <c r="E6" i="1"/>
  <c r="F6" i="1"/>
  <c r="G6" i="1"/>
  <c r="H6" i="1"/>
  <c r="I6" i="1"/>
  <c r="C21" i="1"/>
  <c r="C14" i="1"/>
  <c r="C10" i="1"/>
  <c r="C6" i="1"/>
  <c r="H22" i="1" l="1"/>
  <c r="I22" i="1"/>
  <c r="G22" i="1"/>
  <c r="F22" i="1"/>
  <c r="E22" i="1"/>
  <c r="D22" i="1"/>
  <c r="C22" i="1"/>
</calcChain>
</file>

<file path=xl/sharedStrings.xml><?xml version="1.0" encoding="utf-8"?>
<sst xmlns="http://schemas.openxmlformats.org/spreadsheetml/2006/main" count="35" uniqueCount="31">
  <si>
    <t>trae国内版</t>
    <phoneticPr fontId="1" type="noConversion"/>
  </si>
  <si>
    <t>美观度</t>
    <phoneticPr fontId="1" type="noConversion"/>
  </si>
  <si>
    <t>使用难度</t>
    <phoneticPr fontId="1" type="noConversion"/>
  </si>
  <si>
    <t>安装难度</t>
    <phoneticPr fontId="1" type="noConversion"/>
  </si>
  <si>
    <t>学习难度</t>
    <phoneticPr fontId="1" type="noConversion"/>
  </si>
  <si>
    <t>配套社区插件</t>
    <phoneticPr fontId="1" type="noConversion"/>
  </si>
  <si>
    <t>基础性能</t>
    <phoneticPr fontId="1" type="noConversion"/>
  </si>
  <si>
    <t>启动速度</t>
    <phoneticPr fontId="1" type="noConversion"/>
  </si>
  <si>
    <t>多项目切换</t>
    <phoneticPr fontId="1" type="noConversion"/>
  </si>
  <si>
    <t>代码补全</t>
    <phoneticPr fontId="1" type="noConversion"/>
  </si>
  <si>
    <t>代理模式</t>
    <phoneticPr fontId="1" type="noConversion"/>
  </si>
  <si>
    <t>功能实现</t>
    <phoneticPr fontId="1" type="noConversion"/>
  </si>
  <si>
    <t>错误调试</t>
    <phoneticPr fontId="1" type="noConversion"/>
  </si>
  <si>
    <t>代码重构</t>
    <phoneticPr fontId="1" type="noConversion"/>
  </si>
  <si>
    <t>其他功能</t>
    <phoneticPr fontId="1" type="noConversion"/>
  </si>
  <si>
    <t>多语言支持</t>
    <phoneticPr fontId="1" type="noConversion"/>
  </si>
  <si>
    <t>多平台使用</t>
    <phoneticPr fontId="1" type="noConversion"/>
  </si>
  <si>
    <t>开发多平台项目</t>
    <phoneticPr fontId="1" type="noConversion"/>
  </si>
  <si>
    <t>团队协作支持</t>
    <phoneticPr fontId="1" type="noConversion"/>
  </si>
  <si>
    <t>模型支持</t>
    <phoneticPr fontId="1" type="noConversion"/>
  </si>
  <si>
    <t>使用价格</t>
    <phoneticPr fontId="1" type="noConversion"/>
  </si>
  <si>
    <t>小计</t>
    <phoneticPr fontId="1" type="noConversion"/>
  </si>
  <si>
    <t>总计</t>
    <phoneticPr fontId="1" type="noConversion"/>
  </si>
  <si>
    <t>trae国际版</t>
    <phoneticPr fontId="1" type="noConversion"/>
  </si>
  <si>
    <t>通义灵码</t>
    <phoneticPr fontId="1" type="noConversion"/>
  </si>
  <si>
    <t>qoder</t>
    <phoneticPr fontId="1" type="noConversion"/>
  </si>
  <si>
    <t>copilot</t>
    <phoneticPr fontId="1" type="noConversion"/>
  </si>
  <si>
    <t>windsurf</t>
    <phoneticPr fontId="1" type="noConversion"/>
  </si>
  <si>
    <t>cursor</t>
    <phoneticPr fontId="1" type="noConversion"/>
  </si>
  <si>
    <t>核心功能</t>
    <phoneticPr fontId="1" type="noConversion"/>
  </si>
  <si>
    <t>定价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</si>
</sst>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G13" sqref="G13"/>
    </sheetView>
  </sheetViews>
  <sheetFormatPr defaultRowHeight="14" x14ac:dyDescent="0.3"/>
  <cols>
    <col min="2" max="2" width="14.33203125" bestFit="1" customWidth="1"/>
    <col min="3" max="3" width="9.6640625" bestFit="1" customWidth="1"/>
  </cols>
  <sheetData>
    <row r="1" spans="1:9" x14ac:dyDescent="0.3">
      <c r="C1" t="s">
        <v>0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3">
      <c r="A2" s="1" t="s">
        <v>1</v>
      </c>
      <c r="B2" s="1"/>
      <c r="C2">
        <v>10</v>
      </c>
      <c r="D2">
        <v>10</v>
      </c>
      <c r="E2">
        <v>8</v>
      </c>
      <c r="F2">
        <v>8</v>
      </c>
      <c r="G2">
        <v>8</v>
      </c>
      <c r="H2">
        <v>6</v>
      </c>
      <c r="I2">
        <v>3</v>
      </c>
    </row>
    <row r="3" spans="1:9" x14ac:dyDescent="0.3">
      <c r="A3" s="2" t="s">
        <v>2</v>
      </c>
      <c r="B3" t="s">
        <v>3</v>
      </c>
      <c r="C3">
        <v>3</v>
      </c>
      <c r="D3">
        <v>2</v>
      </c>
      <c r="E3">
        <v>3</v>
      </c>
      <c r="F3">
        <v>2</v>
      </c>
      <c r="G3">
        <v>3</v>
      </c>
      <c r="H3">
        <v>2</v>
      </c>
      <c r="I3">
        <v>2</v>
      </c>
    </row>
    <row r="4" spans="1:9" x14ac:dyDescent="0.3">
      <c r="A4" s="2"/>
      <c r="B4" t="s">
        <v>4</v>
      </c>
      <c r="C4">
        <v>2.5</v>
      </c>
      <c r="D4">
        <v>2.5</v>
      </c>
      <c r="E4">
        <v>2.5</v>
      </c>
      <c r="F4">
        <v>2.5</v>
      </c>
      <c r="G4">
        <v>3</v>
      </c>
      <c r="H4">
        <v>2.5</v>
      </c>
      <c r="I4">
        <v>3</v>
      </c>
    </row>
    <row r="5" spans="1:9" x14ac:dyDescent="0.3">
      <c r="A5" s="2"/>
      <c r="B5" t="s">
        <v>5</v>
      </c>
      <c r="C5">
        <v>2</v>
      </c>
      <c r="D5">
        <v>1</v>
      </c>
      <c r="E5">
        <v>1</v>
      </c>
      <c r="F5">
        <v>1</v>
      </c>
      <c r="G5">
        <v>4</v>
      </c>
      <c r="H5">
        <v>1</v>
      </c>
      <c r="I5">
        <v>4</v>
      </c>
    </row>
    <row r="6" spans="1:9" x14ac:dyDescent="0.3">
      <c r="A6" s="2"/>
      <c r="B6" t="s">
        <v>21</v>
      </c>
      <c r="C6">
        <f>C3+C4+C5</f>
        <v>7.5</v>
      </c>
      <c r="D6">
        <f t="shared" ref="D6:I6" si="0">D3+D4+D5</f>
        <v>5.5</v>
      </c>
      <c r="E6">
        <f t="shared" si="0"/>
        <v>6.5</v>
      </c>
      <c r="F6">
        <f t="shared" si="0"/>
        <v>5.5</v>
      </c>
      <c r="G6">
        <f t="shared" si="0"/>
        <v>10</v>
      </c>
      <c r="H6">
        <f t="shared" si="0"/>
        <v>5.5</v>
      </c>
      <c r="I6">
        <f t="shared" si="0"/>
        <v>9</v>
      </c>
    </row>
    <row r="7" spans="1:9" x14ac:dyDescent="0.3">
      <c r="A7" s="2" t="s">
        <v>6</v>
      </c>
      <c r="B7" t="s">
        <v>7</v>
      </c>
      <c r="C7">
        <v>2</v>
      </c>
      <c r="D7">
        <v>2</v>
      </c>
      <c r="E7">
        <v>2</v>
      </c>
      <c r="F7">
        <v>2</v>
      </c>
      <c r="G7">
        <v>1.5</v>
      </c>
      <c r="H7">
        <v>2</v>
      </c>
      <c r="I7">
        <v>2</v>
      </c>
    </row>
    <row r="8" spans="1:9" x14ac:dyDescent="0.3">
      <c r="A8" s="2"/>
      <c r="B8" t="s">
        <v>8</v>
      </c>
      <c r="C8">
        <v>3</v>
      </c>
      <c r="D8">
        <v>3</v>
      </c>
      <c r="E8">
        <v>2</v>
      </c>
      <c r="F8">
        <v>3</v>
      </c>
      <c r="G8">
        <v>3</v>
      </c>
      <c r="H8">
        <v>4</v>
      </c>
      <c r="I8">
        <v>3</v>
      </c>
    </row>
    <row r="9" spans="1:9" x14ac:dyDescent="0.3">
      <c r="A9" s="2"/>
      <c r="B9" t="s">
        <v>9</v>
      </c>
      <c r="C9">
        <v>12</v>
      </c>
      <c r="D9">
        <v>12</v>
      </c>
      <c r="E9">
        <v>12</v>
      </c>
      <c r="F9">
        <v>12</v>
      </c>
      <c r="G9">
        <v>9</v>
      </c>
      <c r="H9">
        <v>14</v>
      </c>
      <c r="I9">
        <v>12</v>
      </c>
    </row>
    <row r="10" spans="1:9" x14ac:dyDescent="0.3">
      <c r="A10" s="2"/>
      <c r="B10" t="s">
        <v>21</v>
      </c>
      <c r="C10">
        <f>C7+C8+C9</f>
        <v>17</v>
      </c>
      <c r="D10">
        <f t="shared" ref="D10:I10" si="1">D7+D8+D9</f>
        <v>17</v>
      </c>
      <c r="E10">
        <f t="shared" si="1"/>
        <v>16</v>
      </c>
      <c r="F10">
        <f t="shared" si="1"/>
        <v>17</v>
      </c>
      <c r="G10">
        <f t="shared" si="1"/>
        <v>13.5</v>
      </c>
      <c r="H10">
        <f t="shared" si="1"/>
        <v>20</v>
      </c>
      <c r="I10">
        <f t="shared" si="1"/>
        <v>17</v>
      </c>
    </row>
    <row r="11" spans="1:9" x14ac:dyDescent="0.3">
      <c r="A11" s="2" t="s">
        <v>10</v>
      </c>
      <c r="B11" t="s">
        <v>11</v>
      </c>
      <c r="C11">
        <v>14</v>
      </c>
      <c r="D11">
        <v>17</v>
      </c>
      <c r="E11">
        <v>14</v>
      </c>
      <c r="F11">
        <v>17</v>
      </c>
      <c r="G11">
        <v>8</v>
      </c>
      <c r="H11">
        <v>20</v>
      </c>
      <c r="I11">
        <v>17</v>
      </c>
    </row>
    <row r="12" spans="1:9" x14ac:dyDescent="0.3">
      <c r="A12" s="2"/>
      <c r="B12" t="s">
        <v>12</v>
      </c>
      <c r="C12">
        <v>7</v>
      </c>
      <c r="D12">
        <v>3</v>
      </c>
      <c r="E12">
        <v>9</v>
      </c>
      <c r="F12">
        <v>10</v>
      </c>
      <c r="G12">
        <v>7</v>
      </c>
      <c r="H12">
        <v>10</v>
      </c>
      <c r="I12">
        <v>10</v>
      </c>
    </row>
    <row r="13" spans="1:9" x14ac:dyDescent="0.3">
      <c r="A13" s="2"/>
      <c r="B13" t="s">
        <v>13</v>
      </c>
      <c r="C13">
        <v>6</v>
      </c>
      <c r="D13">
        <v>8</v>
      </c>
      <c r="E13">
        <v>8</v>
      </c>
      <c r="F13">
        <v>10</v>
      </c>
      <c r="G13">
        <v>6</v>
      </c>
      <c r="H13">
        <v>8</v>
      </c>
      <c r="I13">
        <v>10</v>
      </c>
    </row>
    <row r="14" spans="1:9" x14ac:dyDescent="0.3">
      <c r="A14" s="2"/>
      <c r="B14" t="s">
        <v>21</v>
      </c>
      <c r="C14">
        <f>C11+C12+C13</f>
        <v>27</v>
      </c>
      <c r="D14">
        <f t="shared" ref="D14:I14" si="2">D11+D12+D13</f>
        <v>28</v>
      </c>
      <c r="E14">
        <f t="shared" si="2"/>
        <v>31</v>
      </c>
      <c r="F14">
        <f t="shared" si="2"/>
        <v>37</v>
      </c>
      <c r="G14">
        <f t="shared" si="2"/>
        <v>21</v>
      </c>
      <c r="H14">
        <f t="shared" si="2"/>
        <v>38</v>
      </c>
      <c r="I14">
        <f t="shared" si="2"/>
        <v>37</v>
      </c>
    </row>
    <row r="15" spans="1:9" x14ac:dyDescent="0.3">
      <c r="A15" s="2" t="s">
        <v>14</v>
      </c>
      <c r="B15" t="s">
        <v>15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 x14ac:dyDescent="0.3">
      <c r="A16" s="2"/>
      <c r="B16" t="s">
        <v>16</v>
      </c>
      <c r="C16">
        <v>1.5</v>
      </c>
      <c r="D16">
        <v>1.5</v>
      </c>
      <c r="E16">
        <v>1.5</v>
      </c>
      <c r="F16">
        <v>1.5</v>
      </c>
      <c r="G16">
        <v>2</v>
      </c>
      <c r="H16">
        <v>1.5</v>
      </c>
      <c r="I16">
        <v>1.5</v>
      </c>
    </row>
    <row r="17" spans="1:9" x14ac:dyDescent="0.3">
      <c r="A17" s="2"/>
      <c r="B17" t="s">
        <v>17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</row>
    <row r="18" spans="1:9" x14ac:dyDescent="0.3">
      <c r="A18" s="2"/>
      <c r="B18" t="s">
        <v>18</v>
      </c>
      <c r="C18">
        <v>2</v>
      </c>
      <c r="D18">
        <v>2</v>
      </c>
      <c r="E18">
        <v>2</v>
      </c>
      <c r="F18">
        <v>3</v>
      </c>
      <c r="G18">
        <v>2</v>
      </c>
      <c r="H18">
        <v>2</v>
      </c>
      <c r="I18">
        <v>3</v>
      </c>
    </row>
    <row r="19" spans="1:9" x14ac:dyDescent="0.3">
      <c r="A19" s="2"/>
      <c r="B19" t="s">
        <v>19</v>
      </c>
      <c r="C19">
        <v>2</v>
      </c>
      <c r="D19">
        <v>1</v>
      </c>
      <c r="E19">
        <v>1</v>
      </c>
      <c r="F19">
        <v>1</v>
      </c>
      <c r="G19">
        <v>5</v>
      </c>
      <c r="H19">
        <v>4</v>
      </c>
      <c r="I19">
        <v>4</v>
      </c>
    </row>
    <row r="20" spans="1:9" x14ac:dyDescent="0.3">
      <c r="A20" s="2"/>
      <c r="B20" t="s">
        <v>20</v>
      </c>
      <c r="C20">
        <v>4</v>
      </c>
      <c r="D20">
        <v>4</v>
      </c>
      <c r="E20">
        <v>3</v>
      </c>
      <c r="F20">
        <v>2</v>
      </c>
      <c r="G20">
        <v>5</v>
      </c>
      <c r="H20">
        <v>3</v>
      </c>
      <c r="I20">
        <v>2</v>
      </c>
    </row>
    <row r="21" spans="1:9" x14ac:dyDescent="0.3">
      <c r="A21" s="2"/>
      <c r="B21" t="s">
        <v>21</v>
      </c>
      <c r="C21">
        <f>C15+C16+C17+C18+C19+C20</f>
        <v>14.5</v>
      </c>
      <c r="D21">
        <f t="shared" ref="D21:I21" si="3">D15+D16+D17+D18+D19+D20</f>
        <v>13.5</v>
      </c>
      <c r="E21">
        <f t="shared" si="3"/>
        <v>12.5</v>
      </c>
      <c r="F21">
        <f t="shared" si="3"/>
        <v>12.5</v>
      </c>
      <c r="G21">
        <f t="shared" si="3"/>
        <v>19</v>
      </c>
      <c r="H21">
        <f t="shared" si="3"/>
        <v>15.5</v>
      </c>
      <c r="I21">
        <f t="shared" si="3"/>
        <v>15.5</v>
      </c>
    </row>
    <row r="22" spans="1:9" x14ac:dyDescent="0.3">
      <c r="A22" s="1" t="s">
        <v>22</v>
      </c>
      <c r="B22" s="1"/>
      <c r="C22">
        <f>C2+C6+C10+C14+C21</f>
        <v>76</v>
      </c>
      <c r="D22">
        <f t="shared" ref="D22:I22" si="4">D2+D6+D10+D14+D21</f>
        <v>74</v>
      </c>
      <c r="E22">
        <f t="shared" si="4"/>
        <v>74</v>
      </c>
      <c r="F22">
        <f t="shared" si="4"/>
        <v>80</v>
      </c>
      <c r="G22">
        <f t="shared" si="4"/>
        <v>71.5</v>
      </c>
      <c r="H22">
        <f t="shared" si="4"/>
        <v>85</v>
      </c>
      <c r="I22">
        <f t="shared" si="4"/>
        <v>81.5</v>
      </c>
    </row>
    <row r="23" spans="1:9" x14ac:dyDescent="0.3">
      <c r="A23" s="1" t="s">
        <v>29</v>
      </c>
      <c r="B23" s="1"/>
      <c r="C23">
        <f>C9+C14</f>
        <v>39</v>
      </c>
      <c r="D23">
        <f t="shared" ref="D23:I23" si="5">D9+D14</f>
        <v>40</v>
      </c>
      <c r="E23">
        <f t="shared" si="5"/>
        <v>43</v>
      </c>
      <c r="F23">
        <f t="shared" si="5"/>
        <v>49</v>
      </c>
      <c r="G23">
        <f t="shared" si="5"/>
        <v>30</v>
      </c>
      <c r="H23">
        <f t="shared" si="5"/>
        <v>52</v>
      </c>
      <c r="I23">
        <f t="shared" si="5"/>
        <v>49</v>
      </c>
    </row>
    <row r="24" spans="1:9" x14ac:dyDescent="0.3">
      <c r="A24" s="1" t="s">
        <v>1</v>
      </c>
      <c r="B24" s="1"/>
      <c r="C24">
        <f>C2</f>
        <v>10</v>
      </c>
      <c r="D24">
        <f t="shared" ref="D24:I24" si="6">D2</f>
        <v>10</v>
      </c>
      <c r="E24">
        <f t="shared" si="6"/>
        <v>8</v>
      </c>
      <c r="F24">
        <f t="shared" si="6"/>
        <v>8</v>
      </c>
      <c r="G24">
        <f t="shared" si="6"/>
        <v>8</v>
      </c>
      <c r="H24">
        <f t="shared" si="6"/>
        <v>6</v>
      </c>
      <c r="I24">
        <f t="shared" si="6"/>
        <v>3</v>
      </c>
    </row>
    <row r="25" spans="1:9" x14ac:dyDescent="0.3">
      <c r="A25" s="1" t="s">
        <v>30</v>
      </c>
      <c r="B25" s="1"/>
      <c r="C25">
        <f>C20</f>
        <v>4</v>
      </c>
      <c r="D25">
        <f t="shared" ref="D25:I25" si="7">D20</f>
        <v>4</v>
      </c>
      <c r="E25">
        <f t="shared" si="7"/>
        <v>3</v>
      </c>
      <c r="F25">
        <f t="shared" si="7"/>
        <v>2</v>
      </c>
      <c r="G25">
        <f t="shared" si="7"/>
        <v>5</v>
      </c>
      <c r="H25">
        <f t="shared" si="7"/>
        <v>3</v>
      </c>
      <c r="I25">
        <f t="shared" si="7"/>
        <v>2</v>
      </c>
    </row>
  </sheetData>
  <mergeCells count="9">
    <mergeCell ref="A22:B22"/>
    <mergeCell ref="A23:B23"/>
    <mergeCell ref="A24:B24"/>
    <mergeCell ref="A25:B25"/>
    <mergeCell ref="A2:B2"/>
    <mergeCell ref="A3:A6"/>
    <mergeCell ref="A7:A10"/>
    <mergeCell ref="A11:A14"/>
    <mergeCell ref="A15:A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呆呆猪</dc:creator>
  <cp:lastModifiedBy>猪 呆呆</cp:lastModifiedBy>
  <dcterms:created xsi:type="dcterms:W3CDTF">2015-06-05T18:19:34Z</dcterms:created>
  <dcterms:modified xsi:type="dcterms:W3CDTF">2026-02-13T05:03:45Z</dcterms:modified>
</cp:coreProperties>
</file>